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nwnamiii\"/>
    </mc:Choice>
  </mc:AlternateContent>
  <xr:revisionPtr revIDLastSave="0" documentId="8_{CD01E118-18A1-4495-A622-087F454272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8" i="1" s="1"/>
  <c r="B25" i="1"/>
  <c r="B27" i="1" s="1"/>
  <c r="B7" i="1"/>
  <c r="B9" i="1" s="1"/>
  <c r="B6" i="1"/>
  <c r="C7" i="1" l="1"/>
  <c r="C9" i="1" s="1"/>
  <c r="C26" i="1"/>
  <c r="C28" i="1" s="1"/>
  <c r="B29" i="1"/>
  <c r="B30" i="1" s="1"/>
  <c r="B8" i="1"/>
  <c r="B11" i="1" s="1"/>
  <c r="B10" i="1"/>
  <c r="B12" i="1" l="1"/>
  <c r="B13" i="1" s="1"/>
  <c r="C6" i="1"/>
  <c r="C25" i="1"/>
  <c r="B31" i="1"/>
  <c r="B32" i="1" s="1"/>
  <c r="C27" i="1" l="1"/>
  <c r="C29" i="1"/>
  <c r="D26" i="1"/>
  <c r="D28" i="1" s="1"/>
  <c r="C30" i="1"/>
  <c r="C10" i="1"/>
  <c r="C8" i="1"/>
  <c r="C11" i="1" s="1"/>
  <c r="C12" i="1" s="1"/>
  <c r="C13" i="1" s="1"/>
  <c r="C31" i="1" l="1"/>
  <c r="C32" i="1" s="1"/>
  <c r="D25" i="1"/>
  <c r="D27" i="1" l="1"/>
  <c r="E26" i="1"/>
  <c r="E28" i="1" s="1"/>
  <c r="D29" i="1"/>
  <c r="D30" i="1" s="1"/>
  <c r="D31" i="1" l="1"/>
  <c r="D32" i="1" s="1"/>
  <c r="E25" i="1"/>
  <c r="E27" i="1" l="1"/>
  <c r="E30" i="1" s="1"/>
  <c r="E31" i="1" s="1"/>
  <c r="E32" i="1" s="1"/>
  <c r="E29" i="1"/>
</calcChain>
</file>

<file path=xl/sharedStrings.xml><?xml version="1.0" encoding="utf-8"?>
<sst xmlns="http://schemas.openxmlformats.org/spreadsheetml/2006/main" count="34" uniqueCount="20">
  <si>
    <t>f(x)</t>
  </si>
  <si>
    <t>e^x sin(x) - 1</t>
  </si>
  <si>
    <t>x0</t>
  </si>
  <si>
    <t>x1</t>
  </si>
  <si>
    <t>error(%)</t>
  </si>
  <si>
    <t>x2</t>
  </si>
  <si>
    <t>x3</t>
  </si>
  <si>
    <t>x_i</t>
  </si>
  <si>
    <t>x_(i-1)</t>
  </si>
  <si>
    <t>f(x_i)</t>
  </si>
  <si>
    <t>f(x_(i-1))</t>
  </si>
  <si>
    <t>(x_i) - x_(i-1)</t>
  </si>
  <si>
    <t>x_i+1</t>
  </si>
  <si>
    <t>error</t>
  </si>
  <si>
    <t>check ro</t>
  </si>
  <si>
    <t>Lab 8</t>
  </si>
  <si>
    <t>sin(x) - x^2 = 0</t>
  </si>
  <si>
    <t>sin(x)-x^2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</si>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</sst>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Tahoma"/>
      <scheme val="minor"/>
    </font>
    <font>
      <sz val="11"/>
      <color theme="1"/>
      <name val="Tahoma"/>
      <scheme val="minor"/>
    </font>
    <font>
      <sz val="11"/>
      <color theme="1"/>
      <name val="Tahoma"/>
    </font>
    <font>
      <b/>
      <sz val="20"/>
      <color theme="1"/>
      <name val="Tahoma"/>
    </font>
    <font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64" fontId="2" fillId="3" borderId="7" xfId="0" applyNumberFormat="1" applyFont="1" applyFill="1" applyBorder="1"/>
    <xf numFmtId="0" fontId="1" fillId="4" borderId="8" xfId="0" applyFont="1" applyFill="1" applyBorder="1"/>
    <xf numFmtId="164" fontId="2" fillId="0" borderId="7" xfId="0" applyNumberFormat="1" applyFont="1" applyBorder="1"/>
    <xf numFmtId="0" fontId="1" fillId="4" borderId="7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2.59765625" defaultRowHeight="15" customHeight="1"/>
  <cols>
    <col min="1" max="1" width="16.59765625" customWidth="1"/>
    <col min="2" max="2" width="17.5" customWidth="1"/>
    <col min="3" max="10" width="16.59765625" customWidth="1"/>
    <col min="11" max="26" width="8.59765625" customWidth="1"/>
  </cols>
  <sheetData>
    <row r="1" spans="1:11" ht="14.25" customHeight="1">
      <c r="E1" s="1" t="s">
        <v>0</v>
      </c>
      <c r="F1" s="1" t="s">
        <v>1</v>
      </c>
    </row>
    <row r="2" spans="1:11" ht="14.25" customHeight="1">
      <c r="E2" s="1" t="s">
        <v>2</v>
      </c>
      <c r="F2" s="2">
        <v>0.5</v>
      </c>
    </row>
    <row r="3" spans="1:11" ht="14.25" customHeight="1">
      <c r="E3" s="1" t="s">
        <v>3</v>
      </c>
      <c r="F3" s="2">
        <v>0.55000000000000004</v>
      </c>
    </row>
    <row r="4" spans="1:11" ht="14.25" customHeight="1">
      <c r="E4" s="1" t="s">
        <v>4</v>
      </c>
      <c r="F4" s="2">
        <v>1</v>
      </c>
    </row>
    <row r="5" spans="1:11" ht="14.25" customHeight="1">
      <c r="B5" s="3" t="s">
        <v>5</v>
      </c>
      <c r="C5" s="3" t="s">
        <v>6</v>
      </c>
      <c r="D5" s="3"/>
      <c r="E5" s="3"/>
      <c r="F5" s="3"/>
      <c r="G5" s="3"/>
      <c r="H5" s="3"/>
      <c r="I5" s="3"/>
    </row>
    <row r="6" spans="1:11" ht="14.25" customHeight="1">
      <c r="A6" s="1" t="s">
        <v>7</v>
      </c>
      <c r="B6" s="4">
        <f>F3</f>
        <v>0.55000000000000004</v>
      </c>
      <c r="C6" s="4">
        <f>B11</f>
        <v>0.59071105279561642</v>
      </c>
      <c r="D6" s="4"/>
      <c r="E6" s="4"/>
      <c r="F6" s="4"/>
      <c r="G6" s="4"/>
      <c r="H6" s="4"/>
      <c r="I6" s="4"/>
      <c r="J6" s="5"/>
      <c r="K6" s="5"/>
    </row>
    <row r="7" spans="1:11" ht="14.25" customHeight="1">
      <c r="A7" s="1" t="s">
        <v>8</v>
      </c>
      <c r="B7" s="5">
        <f>F2</f>
        <v>0.5</v>
      </c>
      <c r="C7" s="2">
        <f>B6</f>
        <v>0.55000000000000004</v>
      </c>
      <c r="D7" s="2"/>
      <c r="E7" s="2"/>
      <c r="F7" s="2"/>
      <c r="G7" s="2"/>
      <c r="H7" s="2"/>
      <c r="I7" s="2"/>
      <c r="J7" s="2"/>
      <c r="K7" s="2"/>
    </row>
    <row r="8" spans="1:11" ht="14.25" customHeight="1">
      <c r="A8" s="1" t="s">
        <v>9</v>
      </c>
      <c r="B8" s="2">
        <f t="shared" ref="B8:C8" si="0">EXP(B6)*SIN(B6)-1</f>
        <v>-9.4050783055188769E-2</v>
      </c>
      <c r="C8" s="2">
        <f t="shared" si="0"/>
        <v>5.4491329730093074E-3</v>
      </c>
      <c r="D8" s="2"/>
      <c r="E8" s="2"/>
      <c r="F8" s="2"/>
      <c r="G8" s="2"/>
      <c r="H8" s="2"/>
      <c r="I8" s="2"/>
      <c r="J8" s="2"/>
      <c r="K8" s="2"/>
    </row>
    <row r="9" spans="1:11" ht="14.25" customHeight="1">
      <c r="A9" s="1" t="s">
        <v>10</v>
      </c>
      <c r="B9" s="2">
        <f t="shared" ref="B9:C9" si="1">EXP(B7)*SIN(B7)-1</f>
        <v>-0.20956091678638511</v>
      </c>
      <c r="C9" s="2">
        <f t="shared" si="1"/>
        <v>-9.4050783055188769E-2</v>
      </c>
      <c r="D9" s="2"/>
      <c r="E9" s="2"/>
      <c r="F9" s="2"/>
      <c r="G9" s="2"/>
      <c r="H9" s="2"/>
      <c r="I9" s="2"/>
      <c r="J9" s="2"/>
      <c r="K9" s="2"/>
    </row>
    <row r="10" spans="1:11" ht="14.25" customHeight="1">
      <c r="A10" s="1" t="s">
        <v>11</v>
      </c>
      <c r="B10" s="2">
        <f t="shared" ref="B10:C10" si="2">B6-B7</f>
        <v>5.0000000000000044E-2</v>
      </c>
      <c r="C10" s="2">
        <f t="shared" si="2"/>
        <v>4.0711052795616376E-2</v>
      </c>
      <c r="D10" s="2"/>
      <c r="E10" s="2"/>
      <c r="F10" s="2"/>
      <c r="G10" s="2"/>
      <c r="H10" s="2"/>
      <c r="I10" s="2"/>
      <c r="J10" s="2"/>
      <c r="K10" s="2"/>
    </row>
    <row r="11" spans="1:11" ht="14.25" customHeight="1">
      <c r="A11" s="1" t="s">
        <v>12</v>
      </c>
      <c r="B11" s="2">
        <f t="shared" ref="B11:C11" si="3">B6-(B8*B10)/(B8-B9)</f>
        <v>0.59071105279561642</v>
      </c>
      <c r="C11" s="2">
        <f t="shared" si="3"/>
        <v>0.58848150377678465</v>
      </c>
      <c r="D11" s="2"/>
      <c r="E11" s="2"/>
      <c r="F11" s="2"/>
      <c r="G11" s="2"/>
      <c r="H11" s="2"/>
      <c r="I11" s="2"/>
      <c r="J11" s="2"/>
      <c r="K11" s="2"/>
    </row>
    <row r="12" spans="1:11" ht="14.25" customHeight="1">
      <c r="A12" s="1" t="s">
        <v>13</v>
      </c>
      <c r="B12" s="2">
        <f t="shared" ref="B12:C12" si="4">ABS(B11-B6)/ABS(B11)*100</f>
        <v>6.8918725327630241</v>
      </c>
      <c r="C12" s="2">
        <f t="shared" si="4"/>
        <v>0.37886475692487542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>
      <c r="A13" s="1" t="s">
        <v>14</v>
      </c>
      <c r="B13" s="2" t="b">
        <f t="shared" ref="B13:C13" si="5">IF(B12&lt;=$F$4, TRUE)</f>
        <v>0</v>
      </c>
      <c r="C13" s="2" t="b">
        <f t="shared" si="5"/>
        <v>1</v>
      </c>
      <c r="D13" s="2"/>
      <c r="E13" s="2"/>
      <c r="F13" s="2"/>
      <c r="G13" s="2"/>
      <c r="H13" s="2"/>
      <c r="I13" s="2"/>
      <c r="J13" s="2"/>
      <c r="K13" s="2"/>
    </row>
    <row r="14" spans="1:11" ht="14.25" customHeight="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25" customHeight="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10" t="s">
        <v>15</v>
      </c>
      <c r="B17" s="11"/>
      <c r="C17" s="11"/>
      <c r="D17" s="11"/>
      <c r="E17" s="11"/>
      <c r="F17" s="12"/>
      <c r="G17" s="2"/>
      <c r="H17" s="2"/>
      <c r="I17" s="2"/>
      <c r="J17" s="2"/>
      <c r="K17" s="2"/>
    </row>
    <row r="18" spans="1:11" ht="14.25" customHeight="1">
      <c r="A18" s="13"/>
      <c r="B18" s="14"/>
      <c r="C18" s="14"/>
      <c r="D18" s="14"/>
      <c r="E18" s="14"/>
      <c r="F18" s="15"/>
      <c r="G18" s="2"/>
      <c r="H18" s="2"/>
      <c r="I18" s="2"/>
      <c r="J18" s="2"/>
      <c r="K18" s="2"/>
    </row>
    <row r="19" spans="1:11" ht="14.25" customHeight="1">
      <c r="B19" s="2"/>
      <c r="C19" s="2"/>
      <c r="D19" s="2"/>
      <c r="E19" s="2"/>
      <c r="F19" s="2" t="s">
        <v>16</v>
      </c>
      <c r="G19" s="2"/>
      <c r="H19" s="2"/>
      <c r="I19" s="2"/>
      <c r="J19" s="2"/>
      <c r="K19" s="2"/>
    </row>
    <row r="20" spans="1:11" ht="14.25" customHeight="1">
      <c r="B20" s="2"/>
      <c r="C20" s="2"/>
      <c r="D20" s="2"/>
      <c r="E20" s="1" t="s">
        <v>0</v>
      </c>
      <c r="F20" s="2" t="s">
        <v>17</v>
      </c>
      <c r="G20" s="2"/>
      <c r="H20" s="2"/>
      <c r="I20" s="2"/>
      <c r="J20" s="2"/>
      <c r="K20" s="2"/>
    </row>
    <row r="21" spans="1:11" ht="14.25" customHeight="1">
      <c r="B21" s="2"/>
      <c r="C21" s="2"/>
      <c r="D21" s="2"/>
      <c r="E21" s="1" t="s">
        <v>2</v>
      </c>
      <c r="F21" s="2">
        <v>0.75</v>
      </c>
      <c r="G21" s="2"/>
      <c r="H21" s="2"/>
      <c r="I21" s="2"/>
      <c r="J21" s="2"/>
      <c r="K21" s="2"/>
    </row>
    <row r="22" spans="1:11" ht="14.25" customHeight="1">
      <c r="B22" s="2"/>
      <c r="C22" s="2"/>
      <c r="D22" s="2"/>
      <c r="E22" s="1" t="s">
        <v>3</v>
      </c>
      <c r="F22" s="2">
        <v>1</v>
      </c>
      <c r="G22" s="2"/>
      <c r="H22" s="2"/>
      <c r="I22" s="2"/>
      <c r="J22" s="2"/>
      <c r="K22" s="2"/>
    </row>
    <row r="23" spans="1:11" ht="14.25" customHeight="1">
      <c r="B23" s="2"/>
      <c r="C23" s="2"/>
      <c r="D23" s="2"/>
      <c r="E23" s="1" t="s">
        <v>4</v>
      </c>
      <c r="F23" s="2">
        <v>1E-3</v>
      </c>
      <c r="G23" s="2"/>
      <c r="H23" s="2"/>
      <c r="I23" s="2"/>
      <c r="J23" s="2"/>
      <c r="K23" s="2"/>
    </row>
    <row r="24" spans="1:11" ht="14.25" customHeight="1">
      <c r="B24" s="6" t="s">
        <v>5</v>
      </c>
      <c r="C24" s="6" t="s">
        <v>6</v>
      </c>
      <c r="D24" s="6" t="s">
        <v>18</v>
      </c>
      <c r="E24" s="6" t="s">
        <v>19</v>
      </c>
      <c r="F24" s="2"/>
      <c r="G24" s="2"/>
      <c r="H24" s="2"/>
      <c r="I24" s="2"/>
      <c r="J24" s="2"/>
      <c r="K24" s="2"/>
    </row>
    <row r="25" spans="1:11" ht="14.25" customHeight="1">
      <c r="A25" s="7" t="s">
        <v>7</v>
      </c>
      <c r="B25" s="8">
        <f>F22</f>
        <v>1</v>
      </c>
      <c r="C25" s="8">
        <f t="shared" ref="C25:E25" si="6">B30</f>
        <v>0.85726736288618333</v>
      </c>
      <c r="D25" s="8">
        <f t="shared" si="6"/>
        <v>0.87406807828247768</v>
      </c>
      <c r="E25" s="8">
        <f t="shared" si="6"/>
        <v>0.8767922048517317</v>
      </c>
      <c r="F25" s="2"/>
      <c r="G25" s="2"/>
      <c r="H25" s="2"/>
      <c r="I25" s="2"/>
      <c r="J25" s="2"/>
      <c r="K25" s="2"/>
    </row>
    <row r="26" spans="1:11" ht="14.25" customHeight="1">
      <c r="A26" s="9" t="s">
        <v>8</v>
      </c>
      <c r="B26" s="8">
        <f>F21</f>
        <v>0.75</v>
      </c>
      <c r="C26" s="8">
        <f t="shared" ref="C26:E26" si="7">B25</f>
        <v>1</v>
      </c>
      <c r="D26" s="8">
        <f t="shared" si="7"/>
        <v>0.85726736288618333</v>
      </c>
      <c r="E26" s="8">
        <f t="shared" si="7"/>
        <v>0.87406807828247768</v>
      </c>
      <c r="F26" s="2"/>
      <c r="G26" s="2"/>
      <c r="H26" s="2"/>
      <c r="I26" s="2"/>
      <c r="J26" s="2"/>
      <c r="K26" s="2"/>
    </row>
    <row r="27" spans="1:11" ht="14.25" customHeight="1">
      <c r="A27" s="9" t="s">
        <v>9</v>
      </c>
      <c r="B27" s="8">
        <f t="shared" ref="B27:E27" si="8">SIN(B25)-B25^2</f>
        <v>-0.1585290151921035</v>
      </c>
      <c r="C27" s="8">
        <f t="shared" si="8"/>
        <v>2.1149529285129365E-2</v>
      </c>
      <c r="D27" s="8">
        <f t="shared" si="8"/>
        <v>2.9508046597507276E-3</v>
      </c>
      <c r="E27" s="8">
        <f t="shared" si="8"/>
        <v>-7.3503862433765832E-5</v>
      </c>
      <c r="F27" s="2"/>
      <c r="G27" s="2"/>
      <c r="H27" s="2"/>
      <c r="I27" s="2"/>
      <c r="J27" s="2"/>
      <c r="K27" s="2"/>
    </row>
    <row r="28" spans="1:11" ht="14.25" customHeight="1">
      <c r="A28" s="9" t="s">
        <v>10</v>
      </c>
      <c r="B28" s="8">
        <f t="shared" ref="B28:E28" si="9">SIN(B26)-B26^2</f>
        <v>0.11913876002333412</v>
      </c>
      <c r="C28" s="8">
        <f t="shared" si="9"/>
        <v>-0.1585290151921035</v>
      </c>
      <c r="D28" s="8">
        <f t="shared" si="9"/>
        <v>2.1149529285129365E-2</v>
      </c>
      <c r="E28" s="8">
        <f t="shared" si="9"/>
        <v>2.9508046597507276E-3</v>
      </c>
      <c r="F28" s="2"/>
      <c r="G28" s="2"/>
      <c r="H28" s="2"/>
      <c r="I28" s="2"/>
      <c r="J28" s="2"/>
      <c r="K28" s="2"/>
    </row>
    <row r="29" spans="1:11" ht="14.25" customHeight="1">
      <c r="A29" s="9" t="s">
        <v>11</v>
      </c>
      <c r="B29" s="8">
        <f t="shared" ref="B29:E29" si="10">B25-B26</f>
        <v>0.25</v>
      </c>
      <c r="C29" s="8">
        <f t="shared" si="10"/>
        <v>-0.14273263711381667</v>
      </c>
      <c r="D29" s="8">
        <f t="shared" si="10"/>
        <v>1.6800715396294352E-2</v>
      </c>
      <c r="E29" s="8">
        <f t="shared" si="10"/>
        <v>2.7241265692540262E-3</v>
      </c>
      <c r="F29" s="2"/>
      <c r="G29" s="2"/>
      <c r="H29" s="2"/>
      <c r="I29" s="2"/>
      <c r="J29" s="2"/>
      <c r="K29" s="2"/>
    </row>
    <row r="30" spans="1:11" ht="14.25" customHeight="1">
      <c r="A30" s="9" t="s">
        <v>12</v>
      </c>
      <c r="B30" s="8">
        <f t="shared" ref="B30:E30" si="11">B25-(B27*B29)/(B27-B28)</f>
        <v>0.85726736288618333</v>
      </c>
      <c r="C30" s="8">
        <f t="shared" si="11"/>
        <v>0.87406807828247768</v>
      </c>
      <c r="D30" s="8">
        <f t="shared" si="11"/>
        <v>0.8767922048517317</v>
      </c>
      <c r="E30" s="8">
        <f t="shared" si="11"/>
        <v>0.87672599671749873</v>
      </c>
      <c r="F30" s="2"/>
      <c r="G30" s="2"/>
      <c r="H30" s="2"/>
      <c r="I30" s="2"/>
      <c r="J30" s="2"/>
      <c r="K30" s="2"/>
    </row>
    <row r="31" spans="1:11" ht="14.25" customHeight="1">
      <c r="A31" s="9" t="s">
        <v>13</v>
      </c>
      <c r="B31" s="8">
        <f t="shared" ref="B31:E31" si="12">ABS(B30-B25)</f>
        <v>0.14273263711381667</v>
      </c>
      <c r="C31" s="8">
        <f t="shared" si="12"/>
        <v>1.6800715396294352E-2</v>
      </c>
      <c r="D31" s="8">
        <f t="shared" si="12"/>
        <v>2.7241265692540262E-3</v>
      </c>
      <c r="E31" s="8">
        <f t="shared" si="12"/>
        <v>6.6208134232970117E-5</v>
      </c>
      <c r="F31" s="2"/>
      <c r="G31" s="2"/>
      <c r="H31" s="2"/>
      <c r="I31" s="2"/>
      <c r="J31" s="2"/>
      <c r="K31" s="2"/>
    </row>
    <row r="32" spans="1:11" ht="14.25" customHeight="1">
      <c r="A32" s="9" t="s">
        <v>14</v>
      </c>
      <c r="B32" s="8" t="b">
        <f t="shared" ref="B32:E32" si="13">IF(B31&lt;=$F$23, TRUE)</f>
        <v>0</v>
      </c>
      <c r="C32" s="8" t="b">
        <f t="shared" si="13"/>
        <v>0</v>
      </c>
      <c r="D32" s="8" t="b">
        <f t="shared" si="13"/>
        <v>0</v>
      </c>
      <c r="E32" s="8" t="b">
        <f t="shared" si="13"/>
        <v>1</v>
      </c>
      <c r="F32" s="2"/>
      <c r="G32" s="2"/>
      <c r="H32" s="2"/>
      <c r="I32" s="2"/>
      <c r="J32" s="2"/>
      <c r="K32" s="2"/>
    </row>
    <row r="33" spans="2:11" ht="14.25" customHeight="1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ht="14.25" customHeight="1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ht="14.25" customHeight="1">
      <c r="B35" s="2"/>
      <c r="C35" s="2"/>
      <c r="D35" s="2"/>
      <c r="E35" s="2"/>
      <c r="F35" s="2"/>
      <c r="G35" s="2"/>
      <c r="H35" s="2"/>
    </row>
    <row r="36" spans="2:11" ht="14.25" customHeight="1">
      <c r="B36" s="2"/>
      <c r="C36" s="2"/>
      <c r="D36" s="2"/>
      <c r="E36" s="2"/>
      <c r="F36" s="2"/>
      <c r="G36" s="2"/>
      <c r="H36" s="2"/>
    </row>
    <row r="37" spans="2:11" ht="14.25" customHeight="1">
      <c r="B37" s="2"/>
      <c r="C37" s="2"/>
      <c r="D37" s="2"/>
      <c r="E37" s="2"/>
      <c r="F37" s="2"/>
      <c r="G37" s="2"/>
      <c r="H37" s="2"/>
    </row>
    <row r="38" spans="2:11" ht="14.25" customHeight="1">
      <c r="B38" s="2"/>
      <c r="C38" s="2"/>
      <c r="D38" s="2"/>
      <c r="E38" s="2"/>
      <c r="F38" s="2"/>
      <c r="G38" s="2"/>
      <c r="H38" s="2"/>
    </row>
    <row r="39" spans="2:11" ht="14.25" customHeight="1"/>
    <row r="40" spans="2:11" ht="14.25" customHeight="1"/>
    <row r="41" spans="2:11" ht="14.25" customHeight="1"/>
    <row r="42" spans="2:11" ht="14.25" customHeight="1"/>
    <row r="43" spans="2:11" ht="14.25" customHeight="1"/>
    <row r="44" spans="2:11" ht="14.25" customHeight="1"/>
    <row r="45" spans="2:11" ht="14.25" customHeight="1"/>
    <row r="46" spans="2:11" ht="14.25" customHeight="1"/>
    <row r="47" spans="2:11" ht="14.25" customHeight="1"/>
    <row r="48" spans="2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7:F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WALEN TIN</dc:creator>
  <cp:lastModifiedBy>WALEN TIN</cp:lastModifiedBy>
  <dcterms:created xsi:type="dcterms:W3CDTF">2025-12-23T10:20:14Z</dcterms:created>
  <dcterms:modified xsi:type="dcterms:W3CDTF">2025-12-23T10:20:14Z</dcterms:modified>
</cp:coreProperties>
</file>