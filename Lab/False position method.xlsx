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<sst xmlns="http://schemas.openxmlformats.org/spreadsheetml/2006/main" count="30" uniqueCount="29">
  <si>
    <t>f(x)=x^4+2x^2-x-3 ,[-1.5,0.5]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</si>
  <si>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</si>
  <si>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</si>
  <si>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</si>
  <si>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</si>
  <si>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</si>
  <si>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</si>
  <si>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</si>
  <si>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</si>
  <si>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</si>
  <si>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</si>
  <si>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</si>
  <si>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</si>
  <si>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</si>
  <si>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</si>
  <si>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</si>
  <si>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</si>
  <si>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</si>
  <si>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</si>
  <si>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round 19</t>
  </si>
  <si>
    <t>error</t>
  </si>
  <si>
    <t>a</t>
  </si>
  <si>
    <t>b</t>
  </si>
  <si>
    <t>f(a)</t>
  </si>
  <si>
    <t>f(b)</t>
  </si>
  <si>
    <t>m</t>
  </si>
  <si>
    <t>f(m)</t>
  </si>
  <si>
    <t>f(a)*f(m)</t>
  </si>
  <si>
    <t>check 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</si>
</sst>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0" fillId="3" fontId="1" numFmtId="164" xfId="0" applyAlignment="1" applyFill="1" applyFont="1" applyNumberFormat="1">
      <alignment readingOrder="0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9" max="27" width="15.75"/>
    <col customWidth="1" min="29" max="29" width="2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 t="s">
        <v>0</v>
      </c>
    </row>
    <row r="2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4"/>
      <c r="V2" s="4"/>
      <c r="W2" s="4"/>
      <c r="X2" s="4"/>
      <c r="Y2" s="4"/>
      <c r="Z2" s="4"/>
      <c r="AA2" s="4"/>
      <c r="AB2" s="2" t="s">
        <v>20</v>
      </c>
      <c r="AC2" s="2">
        <f>10^-6</f>
        <v>0.000001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2" t="s">
        <v>21</v>
      </c>
      <c r="B4" s="5">
        <v>-1.5</v>
      </c>
      <c r="C4" s="1">
        <f t="shared" ref="C4:T4" si="1">IF(B10&lt;0,B4,IF(B10&gt;0,B8))</f>
        <v>-1.5</v>
      </c>
      <c r="D4" s="1">
        <f t="shared" si="1"/>
        <v>-1.5</v>
      </c>
      <c r="E4" s="1">
        <f t="shared" si="1"/>
        <v>-1.5</v>
      </c>
      <c r="F4" s="1">
        <f t="shared" si="1"/>
        <v>-1.5</v>
      </c>
      <c r="G4" s="1">
        <f t="shared" si="1"/>
        <v>-1.5</v>
      </c>
      <c r="H4" s="1">
        <f t="shared" si="1"/>
        <v>-1.5</v>
      </c>
      <c r="I4" s="1">
        <f t="shared" si="1"/>
        <v>-1.5</v>
      </c>
      <c r="J4" s="1">
        <f t="shared" si="1"/>
        <v>-1.5</v>
      </c>
      <c r="K4" s="1">
        <f t="shared" si="1"/>
        <v>-1.5</v>
      </c>
      <c r="L4" s="1">
        <f t="shared" si="1"/>
        <v>-1.5</v>
      </c>
      <c r="M4" s="1">
        <f t="shared" si="1"/>
        <v>-1.5</v>
      </c>
      <c r="N4" s="1">
        <f t="shared" si="1"/>
        <v>-1.5</v>
      </c>
      <c r="O4" s="1">
        <f t="shared" si="1"/>
        <v>-1.5</v>
      </c>
      <c r="P4" s="1">
        <f t="shared" si="1"/>
        <v>-1.5</v>
      </c>
      <c r="Q4" s="1">
        <f t="shared" si="1"/>
        <v>-1.5</v>
      </c>
      <c r="R4" s="1">
        <f t="shared" si="1"/>
        <v>-1.5</v>
      </c>
      <c r="S4" s="1">
        <f t="shared" si="1"/>
        <v>-1.5</v>
      </c>
      <c r="T4" s="1">
        <f t="shared" si="1"/>
        <v>-1.5</v>
      </c>
      <c r="U4" s="1"/>
      <c r="V4" s="1"/>
      <c r="W4" s="1"/>
      <c r="X4" s="1"/>
      <c r="Y4" s="1"/>
      <c r="Z4" s="1"/>
      <c r="AA4" s="1"/>
      <c r="AB4" s="1"/>
      <c r="AC4" s="1"/>
    </row>
    <row r="5">
      <c r="A5" s="2" t="s">
        <v>22</v>
      </c>
      <c r="B5" s="5">
        <v>0.5</v>
      </c>
      <c r="C5" s="1">
        <f t="shared" ref="C5:T5" si="2">IF(B10&lt;0,B8,IF(B10&gt;0,B5))</f>
        <v>-0.03409090909</v>
      </c>
      <c r="D5" s="1">
        <f t="shared" si="2"/>
        <v>-0.4280969806</v>
      </c>
      <c r="E5" s="1">
        <f t="shared" si="2"/>
        <v>-0.6555618702</v>
      </c>
      <c r="F5" s="1">
        <f t="shared" si="2"/>
        <v>-0.7728307576</v>
      </c>
      <c r="G5" s="1">
        <f t="shared" si="2"/>
        <v>-0.8290765032</v>
      </c>
      <c r="H5" s="1">
        <f t="shared" si="2"/>
        <v>-0.8549745831</v>
      </c>
      <c r="I5" s="1">
        <f t="shared" si="2"/>
        <v>-0.8666577992</v>
      </c>
      <c r="J5" s="1">
        <f t="shared" si="2"/>
        <v>-0.8718780019</v>
      </c>
      <c r="K5" s="1">
        <f t="shared" si="2"/>
        <v>-0.8742002849</v>
      </c>
      <c r="L5" s="1">
        <f t="shared" si="2"/>
        <v>-0.8752313642</v>
      </c>
      <c r="M5" s="1">
        <f t="shared" si="2"/>
        <v>-0.8756887576</v>
      </c>
      <c r="N5" s="1">
        <f t="shared" si="2"/>
        <v>-0.8758915815</v>
      </c>
      <c r="O5" s="1">
        <f t="shared" si="2"/>
        <v>-0.8759815051</v>
      </c>
      <c r="P5" s="1">
        <f t="shared" si="2"/>
        <v>-0.8760213704</v>
      </c>
      <c r="Q5" s="1">
        <f t="shared" si="2"/>
        <v>-0.876039043</v>
      </c>
      <c r="R5" s="1">
        <f t="shared" si="2"/>
        <v>-0.8760468774</v>
      </c>
      <c r="S5" s="1">
        <f t="shared" si="2"/>
        <v>-0.8760503503</v>
      </c>
      <c r="T5" s="1">
        <f t="shared" si="2"/>
        <v>-0.8760518899</v>
      </c>
      <c r="U5" s="1"/>
      <c r="V5" s="1"/>
      <c r="W5" s="1"/>
      <c r="X5" s="1"/>
      <c r="Y5" s="1"/>
      <c r="Z5" s="1"/>
      <c r="AA5" s="1"/>
      <c r="AB5" s="1"/>
      <c r="AC5" s="1"/>
    </row>
    <row r="6">
      <c r="A6" s="2" t="s">
        <v>23</v>
      </c>
      <c r="B6" s="1">
        <f t="shared" ref="B6:T6" si="3">B4^4+2*B4^2-B4-3</f>
        <v>8.0625</v>
      </c>
      <c r="C6" s="1">
        <f t="shared" si="3"/>
        <v>8.0625</v>
      </c>
      <c r="D6" s="1">
        <f t="shared" si="3"/>
        <v>8.0625</v>
      </c>
      <c r="E6" s="1">
        <f t="shared" si="3"/>
        <v>8.0625</v>
      </c>
      <c r="F6" s="1">
        <f t="shared" si="3"/>
        <v>8.0625</v>
      </c>
      <c r="G6" s="1">
        <f t="shared" si="3"/>
        <v>8.0625</v>
      </c>
      <c r="H6" s="1">
        <f t="shared" si="3"/>
        <v>8.0625</v>
      </c>
      <c r="I6" s="1">
        <f t="shared" si="3"/>
        <v>8.0625</v>
      </c>
      <c r="J6" s="1">
        <f t="shared" si="3"/>
        <v>8.0625</v>
      </c>
      <c r="K6" s="1">
        <f t="shared" si="3"/>
        <v>8.0625</v>
      </c>
      <c r="L6" s="1">
        <f t="shared" si="3"/>
        <v>8.0625</v>
      </c>
      <c r="M6" s="1">
        <f t="shared" si="3"/>
        <v>8.0625</v>
      </c>
      <c r="N6" s="1">
        <f t="shared" si="3"/>
        <v>8.0625</v>
      </c>
      <c r="O6" s="1">
        <f t="shared" si="3"/>
        <v>8.0625</v>
      </c>
      <c r="P6" s="1">
        <f t="shared" si="3"/>
        <v>8.0625</v>
      </c>
      <c r="Q6" s="1">
        <f t="shared" si="3"/>
        <v>8.0625</v>
      </c>
      <c r="R6" s="1">
        <f t="shared" si="3"/>
        <v>8.0625</v>
      </c>
      <c r="S6" s="1">
        <f t="shared" si="3"/>
        <v>8.0625</v>
      </c>
      <c r="T6" s="1">
        <f t="shared" si="3"/>
        <v>8.0625</v>
      </c>
      <c r="U6" s="1"/>
      <c r="V6" s="1"/>
      <c r="W6" s="1"/>
      <c r="X6" s="1"/>
      <c r="Y6" s="1"/>
      <c r="Z6" s="1"/>
      <c r="AA6" s="1"/>
      <c r="AB6" s="1"/>
      <c r="AC6" s="1"/>
    </row>
    <row r="7">
      <c r="A7" s="2" t="s">
        <v>24</v>
      </c>
      <c r="B7" s="1">
        <f t="shared" ref="B7:T7" si="4">B5^4+2*B5^2-B5-3</f>
        <v>-2.9375</v>
      </c>
      <c r="C7" s="1">
        <f t="shared" si="4"/>
        <v>-2.96358336</v>
      </c>
      <c r="D7" s="1">
        <f t="shared" si="4"/>
        <v>-2.171782167</v>
      </c>
      <c r="E7" s="1">
        <f t="shared" si="4"/>
        <v>-1.300220567</v>
      </c>
      <c r="F7" s="1">
        <f t="shared" si="4"/>
        <v>-0.6759061596</v>
      </c>
      <c r="G7" s="1">
        <f t="shared" si="4"/>
        <v>-0.3237132417</v>
      </c>
      <c r="H7" s="1">
        <f t="shared" si="4"/>
        <v>-0.1487283332</v>
      </c>
      <c r="I7" s="1">
        <f t="shared" si="4"/>
        <v>-0.06700590722</v>
      </c>
      <c r="J7" s="1">
        <f t="shared" si="4"/>
        <v>-0.0299191683</v>
      </c>
      <c r="K7" s="1">
        <f t="shared" si="4"/>
        <v>-0.01330584862</v>
      </c>
      <c r="L7" s="1">
        <f t="shared" si="4"/>
        <v>-0.005906883631</v>
      </c>
      <c r="M7" s="1">
        <f t="shared" si="4"/>
        <v>-0.002620166206</v>
      </c>
      <c r="N7" s="1">
        <f t="shared" si="4"/>
        <v>-0.001161839068</v>
      </c>
      <c r="O7" s="1">
        <f t="shared" si="4"/>
        <v>-0.0005151042386</v>
      </c>
      <c r="P7" s="1">
        <f t="shared" si="4"/>
        <v>-0.0002283568934</v>
      </c>
      <c r="Q7" s="1">
        <f t="shared" si="4"/>
        <v>-0.0001012324538</v>
      </c>
      <c r="R7" s="1">
        <f t="shared" si="4"/>
        <v>-0.00004487655158</v>
      </c>
      <c r="S7" s="1">
        <f t="shared" si="4"/>
        <v>-0.00001989374579</v>
      </c>
      <c r="T7" s="1">
        <f t="shared" si="4"/>
        <v>-0.000008818860778</v>
      </c>
      <c r="U7" s="1"/>
      <c r="V7" s="1"/>
      <c r="W7" s="1"/>
      <c r="X7" s="1"/>
      <c r="Y7" s="1"/>
      <c r="Z7" s="1"/>
      <c r="AA7" s="1"/>
      <c r="AB7" s="1"/>
      <c r="AC7" s="1"/>
    </row>
    <row r="8">
      <c r="A8" s="2" t="s">
        <v>25</v>
      </c>
      <c r="B8" s="1">
        <f t="shared" ref="B8:T8" si="5">(B4*B7-B5*B6)/(B7-B6)</f>
        <v>-0.03409090909</v>
      </c>
      <c r="C8" s="1">
        <f t="shared" si="5"/>
        <v>-0.4280969806</v>
      </c>
      <c r="D8" s="1">
        <f t="shared" si="5"/>
        <v>-0.6555618702</v>
      </c>
      <c r="E8" s="1">
        <f t="shared" si="5"/>
        <v>-0.7728307576</v>
      </c>
      <c r="F8" s="1">
        <f t="shared" si="5"/>
        <v>-0.8290765032</v>
      </c>
      <c r="G8" s="1">
        <f t="shared" si="5"/>
        <v>-0.8549745831</v>
      </c>
      <c r="H8" s="1">
        <f t="shared" si="5"/>
        <v>-0.8666577992</v>
      </c>
      <c r="I8" s="1">
        <f t="shared" si="5"/>
        <v>-0.8718780019</v>
      </c>
      <c r="J8" s="1">
        <f t="shared" si="5"/>
        <v>-0.8742002849</v>
      </c>
      <c r="K8" s="1">
        <f t="shared" si="5"/>
        <v>-0.8752313642</v>
      </c>
      <c r="L8" s="1">
        <f t="shared" si="5"/>
        <v>-0.8756887576</v>
      </c>
      <c r="M8" s="1">
        <f t="shared" si="5"/>
        <v>-0.8758915815</v>
      </c>
      <c r="N8" s="1">
        <f t="shared" si="5"/>
        <v>-0.8759815051</v>
      </c>
      <c r="O8" s="1">
        <f t="shared" si="5"/>
        <v>-0.8760213704</v>
      </c>
      <c r="P8" s="1">
        <f t="shared" si="5"/>
        <v>-0.876039043</v>
      </c>
      <c r="Q8" s="1">
        <f t="shared" si="5"/>
        <v>-0.8760468774</v>
      </c>
      <c r="R8" s="1">
        <f t="shared" si="5"/>
        <v>-0.8760503503</v>
      </c>
      <c r="S8" s="1">
        <f t="shared" si="5"/>
        <v>-0.8760518899</v>
      </c>
      <c r="T8" s="1">
        <f t="shared" si="5"/>
        <v>-0.8760525724</v>
      </c>
      <c r="U8" s="1"/>
      <c r="V8" s="1"/>
      <c r="W8" s="1"/>
      <c r="X8" s="1"/>
      <c r="Y8" s="1"/>
      <c r="Z8" s="1"/>
      <c r="AA8" s="1"/>
      <c r="AB8" s="1"/>
      <c r="AC8" s="1"/>
    </row>
    <row r="9">
      <c r="A9" s="2" t="s">
        <v>26</v>
      </c>
      <c r="B9" s="1">
        <f t="shared" ref="B9:T9" si="6">B8^4+2*B8^2-B8-3</f>
        <v>-2.96358336</v>
      </c>
      <c r="C9" s="1">
        <f t="shared" si="6"/>
        <v>-2.171782167</v>
      </c>
      <c r="D9" s="1">
        <f t="shared" si="6"/>
        <v>-1.300220567</v>
      </c>
      <c r="E9" s="1">
        <f t="shared" si="6"/>
        <v>-0.6759061596</v>
      </c>
      <c r="F9" s="1">
        <f t="shared" si="6"/>
        <v>-0.3237132417</v>
      </c>
      <c r="G9" s="1">
        <f t="shared" si="6"/>
        <v>-0.1487283332</v>
      </c>
      <c r="H9" s="1">
        <f t="shared" si="6"/>
        <v>-0.06700590722</v>
      </c>
      <c r="I9" s="1">
        <f t="shared" si="6"/>
        <v>-0.0299191683</v>
      </c>
      <c r="J9" s="1">
        <f t="shared" si="6"/>
        <v>-0.01330584862</v>
      </c>
      <c r="K9" s="1">
        <f t="shared" si="6"/>
        <v>-0.005906883631</v>
      </c>
      <c r="L9" s="1">
        <f t="shared" si="6"/>
        <v>-0.002620166206</v>
      </c>
      <c r="M9" s="1">
        <f t="shared" si="6"/>
        <v>-0.001161839068</v>
      </c>
      <c r="N9" s="1">
        <f t="shared" si="6"/>
        <v>-0.0005151042386</v>
      </c>
      <c r="O9" s="1">
        <f t="shared" si="6"/>
        <v>-0.0002283568934</v>
      </c>
      <c r="P9" s="1">
        <f t="shared" si="6"/>
        <v>-0.0001012324538</v>
      </c>
      <c r="Q9" s="1">
        <f t="shared" si="6"/>
        <v>-0.00004487655158</v>
      </c>
      <c r="R9" s="1">
        <f t="shared" si="6"/>
        <v>-0.00001989374579</v>
      </c>
      <c r="S9" s="1">
        <f t="shared" si="6"/>
        <v>-0.000008818860778</v>
      </c>
      <c r="T9" s="1">
        <f t="shared" si="6"/>
        <v>-0.000003909380054</v>
      </c>
      <c r="U9" s="1"/>
      <c r="V9" s="1"/>
      <c r="W9" s="1"/>
      <c r="X9" s="1"/>
      <c r="Y9" s="1"/>
      <c r="Z9" s="1"/>
      <c r="AA9" s="1"/>
      <c r="AB9" s="1"/>
      <c r="AC9" s="1"/>
    </row>
    <row r="10">
      <c r="A10" s="2" t="s">
        <v>27</v>
      </c>
      <c r="B10" s="1">
        <f t="shared" ref="B10:T10" si="7">B6*B9</f>
        <v>-23.89389084</v>
      </c>
      <c r="C10" s="1">
        <f t="shared" si="7"/>
        <v>-17.50999372</v>
      </c>
      <c r="D10" s="1">
        <f t="shared" si="7"/>
        <v>-10.48302832</v>
      </c>
      <c r="E10" s="1">
        <f t="shared" si="7"/>
        <v>-5.449493412</v>
      </c>
      <c r="F10" s="1">
        <f t="shared" si="7"/>
        <v>-2.609938011</v>
      </c>
      <c r="G10" s="1">
        <f t="shared" si="7"/>
        <v>-1.199122187</v>
      </c>
      <c r="H10" s="1">
        <f t="shared" si="7"/>
        <v>-0.540235127</v>
      </c>
      <c r="I10" s="1">
        <f t="shared" si="7"/>
        <v>-0.2412232944</v>
      </c>
      <c r="J10" s="1">
        <f t="shared" si="7"/>
        <v>-0.1072784045</v>
      </c>
      <c r="K10" s="1">
        <f t="shared" si="7"/>
        <v>-0.04762424927</v>
      </c>
      <c r="L10" s="1">
        <f t="shared" si="7"/>
        <v>-0.02112509004</v>
      </c>
      <c r="M10" s="1">
        <f t="shared" si="7"/>
        <v>-0.009367327484</v>
      </c>
      <c r="N10" s="1">
        <f t="shared" si="7"/>
        <v>-0.004153027924</v>
      </c>
      <c r="O10" s="1">
        <f t="shared" si="7"/>
        <v>-0.001841127453</v>
      </c>
      <c r="P10" s="1">
        <f t="shared" si="7"/>
        <v>-0.000816186659</v>
      </c>
      <c r="Q10" s="1">
        <f t="shared" si="7"/>
        <v>-0.0003618171971</v>
      </c>
      <c r="R10" s="1">
        <f t="shared" si="7"/>
        <v>-0.0001603933254</v>
      </c>
      <c r="S10" s="1">
        <f t="shared" si="7"/>
        <v>-0.00007110206502</v>
      </c>
      <c r="T10" s="1">
        <f t="shared" si="7"/>
        <v>-0.00003151937668</v>
      </c>
      <c r="U10" s="1"/>
      <c r="V10" s="1"/>
      <c r="W10" s="1"/>
      <c r="X10" s="1"/>
      <c r="Y10" s="1"/>
      <c r="Z10" s="1"/>
      <c r="AA10" s="1"/>
      <c r="AB10" s="1"/>
      <c r="AC10" s="1"/>
    </row>
    <row r="11">
      <c r="A11" s="2" t="s">
        <v>20</v>
      </c>
      <c r="B11" s="1">
        <f>abs(B8-0)/abs(B8)</f>
        <v>1</v>
      </c>
      <c r="C11" s="1">
        <f t="shared" ref="C11:T11" si="8">abs(C8-B8)/abs(C8)</f>
        <v>0.9203663874</v>
      </c>
      <c r="D11" s="1">
        <f t="shared" si="8"/>
        <v>0.3469769977</v>
      </c>
      <c r="E11" s="1">
        <f t="shared" si="8"/>
        <v>0.1517394155</v>
      </c>
      <c r="F11" s="1">
        <f t="shared" si="8"/>
        <v>0.06784144215</v>
      </c>
      <c r="G11" s="1">
        <f t="shared" si="8"/>
        <v>0.03029105234</v>
      </c>
      <c r="H11" s="1">
        <f t="shared" si="8"/>
        <v>0.0134807719</v>
      </c>
      <c r="I11" s="1">
        <f t="shared" si="8"/>
        <v>0.005987308656</v>
      </c>
      <c r="J11" s="1">
        <f t="shared" si="8"/>
        <v>0.002656465662</v>
      </c>
      <c r="K11" s="1">
        <f t="shared" si="8"/>
        <v>0.001178064848</v>
      </c>
      <c r="L11" s="1">
        <f t="shared" si="8"/>
        <v>0.0005223241053</v>
      </c>
      <c r="M11" s="1">
        <f t="shared" si="8"/>
        <v>0.0002315628051</v>
      </c>
      <c r="N11" s="1">
        <f t="shared" si="8"/>
        <v>0.0001026546846</v>
      </c>
      <c r="O11" s="1">
        <f t="shared" si="8"/>
        <v>0.00004550723105</v>
      </c>
      <c r="P11" s="1">
        <f t="shared" si="8"/>
        <v>0.00002017336525</v>
      </c>
      <c r="Q11" s="1">
        <f t="shared" si="8"/>
        <v>0.000008942823369</v>
      </c>
      <c r="R11" s="1">
        <f t="shared" si="8"/>
        <v>0.000003964333909</v>
      </c>
      <c r="S11" s="1">
        <f t="shared" si="8"/>
        <v>0.000001757379189</v>
      </c>
      <c r="T11" s="1">
        <f t="shared" si="8"/>
        <v>0.0000007790414907</v>
      </c>
      <c r="U11" s="1"/>
      <c r="V11" s="1"/>
      <c r="W11" s="1"/>
      <c r="X11" s="1"/>
      <c r="Y11" s="1"/>
      <c r="Z11" s="1"/>
      <c r="AA11" s="1"/>
      <c r="AB11" s="1"/>
      <c r="AC11" s="1"/>
    </row>
    <row r="12">
      <c r="A12" s="2" t="s">
        <v>28</v>
      </c>
      <c r="B12" s="1" t="b">
        <f t="shared" ref="B12:T12" si="9">IF(B11&lt;=$AC$2,TRUE)</f>
        <v>0</v>
      </c>
      <c r="C12" s="1" t="b">
        <f t="shared" si="9"/>
        <v>0</v>
      </c>
      <c r="D12" s="1" t="b">
        <f t="shared" si="9"/>
        <v>0</v>
      </c>
      <c r="E12" s="1" t="b">
        <f t="shared" si="9"/>
        <v>0</v>
      </c>
      <c r="F12" s="1" t="b">
        <f t="shared" si="9"/>
        <v>0</v>
      </c>
      <c r="G12" s="1" t="b">
        <f t="shared" si="9"/>
        <v>0</v>
      </c>
      <c r="H12" s="1" t="b">
        <f t="shared" si="9"/>
        <v>0</v>
      </c>
      <c r="I12" s="1" t="b">
        <f t="shared" si="9"/>
        <v>0</v>
      </c>
      <c r="J12" s="1" t="b">
        <f t="shared" si="9"/>
        <v>0</v>
      </c>
      <c r="K12" s="1" t="b">
        <f t="shared" si="9"/>
        <v>0</v>
      </c>
      <c r="L12" s="1" t="b">
        <f t="shared" si="9"/>
        <v>0</v>
      </c>
      <c r="M12" s="1" t="b">
        <f t="shared" si="9"/>
        <v>0</v>
      </c>
      <c r="N12" s="1" t="b">
        <f t="shared" si="9"/>
        <v>0</v>
      </c>
      <c r="O12" s="1" t="b">
        <f t="shared" si="9"/>
        <v>0</v>
      </c>
      <c r="P12" s="1" t="b">
        <f t="shared" si="9"/>
        <v>0</v>
      </c>
      <c r="Q12" s="1" t="b">
        <f t="shared" si="9"/>
        <v>0</v>
      </c>
      <c r="R12" s="1" t="b">
        <f t="shared" si="9"/>
        <v>0</v>
      </c>
      <c r="S12" s="1" t="b">
        <f t="shared" si="9"/>
        <v>0</v>
      </c>
      <c r="T12" s="1" t="b">
        <f t="shared" si="9"/>
        <v>1</v>
      </c>
      <c r="U12" s="1"/>
      <c r="V12" s="1"/>
      <c r="W12" s="1"/>
      <c r="X12" s="1"/>
      <c r="Y12" s="1"/>
      <c r="Z12" s="1"/>
      <c r="AA12" s="1"/>
      <c r="AB12" s="1"/>
      <c r="AC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