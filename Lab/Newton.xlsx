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nwnamiii\"/>
    </mc:Choice>
  </mc:AlternateContent>
  <xr:revisionPtr revIDLastSave="0" documentId="8_{32E76ED2-077D-479B-BEAB-EE775DDF69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3" i="1" s="1"/>
  <c r="B8" i="1"/>
  <c r="B7" i="1"/>
  <c r="B9" i="1" s="1"/>
  <c r="B10" i="1" l="1"/>
  <c r="B11" i="1" s="1"/>
  <c r="C6" i="1"/>
  <c r="B24" i="1"/>
  <c r="B25" i="1" s="1"/>
  <c r="C22" i="1" l="1"/>
  <c r="B26" i="1"/>
  <c r="B27" i="1" s="1"/>
  <c r="C7" i="1"/>
  <c r="C8" i="1"/>
  <c r="C9" i="1" s="1"/>
  <c r="C10" i="1" l="1"/>
  <c r="C11" i="1" s="1"/>
  <c r="D6" i="1"/>
  <c r="C23" i="1"/>
  <c r="C25" i="1" s="1"/>
  <c r="C24" i="1"/>
  <c r="D22" i="1" l="1"/>
  <c r="C26" i="1"/>
  <c r="C27" i="1" s="1"/>
  <c r="D7" i="1"/>
  <c r="D9" i="1" s="1"/>
  <c r="D8" i="1"/>
  <c r="D10" i="1" l="1"/>
  <c r="D11" i="1" s="1"/>
  <c r="E6" i="1"/>
  <c r="D23" i="1"/>
  <c r="D24" i="1"/>
  <c r="D25" i="1" s="1"/>
  <c r="E22" i="1" l="1"/>
  <c r="D26" i="1"/>
  <c r="D27" i="1" s="1"/>
  <c r="E7" i="1"/>
  <c r="E9" i="1" s="1"/>
  <c r="E8" i="1"/>
  <c r="F6" i="1" l="1"/>
  <c r="E10" i="1"/>
  <c r="E11" i="1" s="1"/>
  <c r="E24" i="1"/>
  <c r="E23" i="1"/>
  <c r="E25" i="1" s="1"/>
  <c r="E26" i="1" s="1"/>
  <c r="E27" i="1" s="1"/>
  <c r="F7" i="1" l="1"/>
  <c r="F9" i="1" s="1"/>
  <c r="F8" i="1"/>
  <c r="G6" i="1" l="1"/>
  <c r="F10" i="1"/>
  <c r="F11" i="1" s="1"/>
  <c r="G8" i="1" l="1"/>
  <c r="G7" i="1"/>
  <c r="G9" i="1" s="1"/>
  <c r="G10" i="1" s="1"/>
  <c r="G11" i="1" s="1"/>
</calcChain>
</file>

<file path=xl/sharedStrings.xml><?xml version="1.0" encoding="utf-8"?>
<sst xmlns="http://schemas.openxmlformats.org/spreadsheetml/2006/main" count="35" uniqueCount="20">
  <si>
    <t>f(x)</t>
  </si>
  <si>
    <t>cos(2x + 1) - 2x - 3</t>
  </si>
  <si>
    <t>f(x)'</t>
  </si>
  <si>
    <t>-2sin(2x + 1) - 2</t>
  </si>
  <si>
    <t>x0</t>
  </si>
  <si>
    <t>error</t>
  </si>
  <si>
    <t>x1</t>
  </si>
  <si>
    <t>x2</t>
  </si>
  <si>
    <t>x3</t>
  </si>
  <si>
    <t>x4</t>
  </si>
  <si>
    <t>x5</t>
  </si>
  <si>
    <t>x6</t>
  </si>
  <si>
    <t>x_(i-1)</t>
  </si>
  <si>
    <t>f(x_(i-1))</t>
  </si>
  <si>
    <t>f(x_(i-1))'</t>
  </si>
  <si>
    <t>x_(i+1)</t>
  </si>
  <si>
    <t>check ro</t>
  </si>
  <si>
    <t>LAB 7</t>
  </si>
  <si>
    <t>x^4 + 2x^2 - x - 3</t>
  </si>
  <si>
    <t>4x^3+4x-1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</si>
</sst>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0000"/>
  </numFmts>
  <fonts count="5">
    <font>
      <sz val="11"/>
      <color theme="1"/>
      <name val="Tahoma"/>
      <scheme val="minor"/>
    </font>
    <font>
      <sz val="11"/>
      <color theme="1"/>
      <name val="Tahoma"/>
      <scheme val="minor"/>
    </font>
    <font>
      <sz val="11"/>
      <color theme="1"/>
      <name val="Tahoma"/>
    </font>
    <font>
      <b/>
      <i/>
      <sz val="16"/>
      <color theme="1"/>
      <name val="Tahoma"/>
    </font>
    <font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2" fillId="0" borderId="0" xfId="0" quotePrefix="1" applyNumberFormat="1" applyFont="1"/>
    <xf numFmtId="164" fontId="2" fillId="0" borderId="0" xfId="0" applyNumberFormat="1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6" fontId="2" fillId="0" borderId="0" xfId="0" applyNumberFormat="1" applyFont="1"/>
    <xf numFmtId="164" fontId="3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/>
  </sheetViews>
  <sheetFormatPr defaultColWidth="12.59765625" defaultRowHeight="15" customHeight="1"/>
  <cols>
    <col min="1" max="1" width="8.59765625" customWidth="1"/>
    <col min="2" max="9" width="16.3984375" customWidth="1"/>
    <col min="10" max="26" width="8.59765625" customWidth="1"/>
  </cols>
  <sheetData>
    <row r="1" spans="1:7" ht="14.25" customHeight="1">
      <c r="F1" s="1" t="s">
        <v>0</v>
      </c>
      <c r="G1" s="1" t="s">
        <v>1</v>
      </c>
    </row>
    <row r="2" spans="1:7" ht="14.25" customHeight="1">
      <c r="F2" s="1" t="s">
        <v>2</v>
      </c>
      <c r="G2" s="2" t="s">
        <v>3</v>
      </c>
    </row>
    <row r="3" spans="1:7" ht="14.25" customHeight="1">
      <c r="F3" s="1" t="s">
        <v>4</v>
      </c>
      <c r="G3" s="3">
        <v>1</v>
      </c>
    </row>
    <row r="4" spans="1:7" ht="14.25" customHeight="1">
      <c r="F4" s="1" t="s">
        <v>5</v>
      </c>
      <c r="G4" s="3">
        <v>5.0000000000000001E-4</v>
      </c>
    </row>
    <row r="5" spans="1:7" ht="14.25" customHeight="1">
      <c r="A5" s="4"/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</row>
    <row r="6" spans="1:7" ht="14.25" customHeight="1">
      <c r="A6" s="6" t="s">
        <v>12</v>
      </c>
      <c r="B6" s="7">
        <v>1</v>
      </c>
      <c r="C6" s="7">
        <f t="shared" ref="C6:G6" si="0">B9</f>
        <v>-1.6246111076365377</v>
      </c>
      <c r="D6" s="7">
        <f t="shared" si="0"/>
        <v>-2.4789027541297664</v>
      </c>
      <c r="E6" s="7">
        <f t="shared" si="0"/>
        <v>-2.1107285192048808</v>
      </c>
      <c r="F6" s="7">
        <f t="shared" si="0"/>
        <v>-2.0067051972328311</v>
      </c>
      <c r="G6" s="7">
        <f t="shared" si="0"/>
        <v>-1.9943139572279922</v>
      </c>
    </row>
    <row r="7" spans="1:7" ht="14.25" customHeight="1">
      <c r="A7" s="6" t="s">
        <v>13</v>
      </c>
      <c r="B7" s="7">
        <f t="shared" ref="B7:G7" si="1">COS(2*B6+1)-(2*B6)-3</f>
        <v>-5.9899924966004452</v>
      </c>
      <c r="C7" s="7">
        <f t="shared" si="1"/>
        <v>-0.3783460440551929</v>
      </c>
      <c r="D7" s="7">
        <f t="shared" si="1"/>
        <v>1.2728202444387353</v>
      </c>
      <c r="E7" s="7">
        <f t="shared" si="1"/>
        <v>0.22464450362789368</v>
      </c>
      <c r="F7" s="7">
        <f t="shared" si="1"/>
        <v>2.1614497750668704E-2</v>
      </c>
      <c r="G7" s="7">
        <f t="shared" si="1"/>
        <v>3.0422643691041529E-4</v>
      </c>
    </row>
    <row r="8" spans="1:7" ht="14.25" customHeight="1">
      <c r="A8" s="6" t="s">
        <v>14</v>
      </c>
      <c r="B8" s="7">
        <f t="shared" ref="B8:G8" si="2">-2*SIN(2*B6+1)-2</f>
        <v>-2.2822400161197343</v>
      </c>
      <c r="C8" s="7">
        <f t="shared" si="2"/>
        <v>-0.44287690931810109</v>
      </c>
      <c r="D8" s="7">
        <f t="shared" si="2"/>
        <v>-3.4571138436626745</v>
      </c>
      <c r="E8" s="7">
        <f t="shared" si="2"/>
        <v>-2.1595590235837125</v>
      </c>
      <c r="F8" s="7">
        <f t="shared" si="2"/>
        <v>-1.744336946280443</v>
      </c>
      <c r="G8" s="7">
        <f t="shared" si="2"/>
        <v>-1.6952621605354792</v>
      </c>
    </row>
    <row r="9" spans="1:7" ht="14.25" customHeight="1">
      <c r="A9" s="6" t="s">
        <v>15</v>
      </c>
      <c r="B9" s="7">
        <f t="shared" ref="B9:G9" si="3">B6-(B7/B8)</f>
        <v>-1.6246111076365377</v>
      </c>
      <c r="C9" s="7">
        <f t="shared" si="3"/>
        <v>-2.4789027541297664</v>
      </c>
      <c r="D9" s="7">
        <f t="shared" si="3"/>
        <v>-2.1107285192048808</v>
      </c>
      <c r="E9" s="7">
        <f t="shared" si="3"/>
        <v>-2.0067051972328311</v>
      </c>
      <c r="F9" s="7">
        <f t="shared" si="3"/>
        <v>-1.9943139572279922</v>
      </c>
      <c r="G9" s="7">
        <f t="shared" si="3"/>
        <v>-1.9941345003604984</v>
      </c>
    </row>
    <row r="10" spans="1:7" ht="14.25" customHeight="1">
      <c r="A10" s="6" t="s">
        <v>5</v>
      </c>
      <c r="B10" s="7">
        <f t="shared" ref="B10:G10" si="4">ABS(B9-B6)</f>
        <v>2.6246111076365377</v>
      </c>
      <c r="C10" s="7">
        <f t="shared" si="4"/>
        <v>0.85429164649322864</v>
      </c>
      <c r="D10" s="7">
        <f t="shared" si="4"/>
        <v>0.36817423492488555</v>
      </c>
      <c r="E10" s="7">
        <f t="shared" si="4"/>
        <v>0.10402332197204966</v>
      </c>
      <c r="F10" s="7">
        <f t="shared" si="4"/>
        <v>1.2391240004838933E-2</v>
      </c>
      <c r="G10" s="7">
        <f t="shared" si="4"/>
        <v>1.7945686749376577E-4</v>
      </c>
    </row>
    <row r="11" spans="1:7" ht="14.25" customHeight="1">
      <c r="A11" s="6" t="s">
        <v>16</v>
      </c>
      <c r="B11" s="8" t="b">
        <f t="shared" ref="B11:G11" si="5">IF(B10&lt;=$G$4, TRUE)</f>
        <v>0</v>
      </c>
      <c r="C11" s="8" t="b">
        <f t="shared" si="5"/>
        <v>0</v>
      </c>
      <c r="D11" s="8" t="b">
        <f t="shared" si="5"/>
        <v>0</v>
      </c>
      <c r="E11" s="8" t="b">
        <f t="shared" si="5"/>
        <v>0</v>
      </c>
      <c r="F11" s="8" t="b">
        <f t="shared" si="5"/>
        <v>0</v>
      </c>
      <c r="G11" s="8" t="b">
        <f t="shared" si="5"/>
        <v>1</v>
      </c>
    </row>
    <row r="12" spans="1:7" ht="14.25" customHeight="1">
      <c r="B12" s="3"/>
      <c r="C12" s="3"/>
      <c r="D12" s="3"/>
      <c r="E12" s="3"/>
    </row>
    <row r="13" spans="1:7" ht="14.25" customHeight="1">
      <c r="B13" s="3"/>
      <c r="C13" s="3"/>
      <c r="D13" s="3"/>
      <c r="E13" s="3"/>
    </row>
    <row r="14" spans="1:7" ht="14.25" customHeight="1">
      <c r="B14" s="3"/>
      <c r="C14" s="3"/>
      <c r="D14" s="3"/>
      <c r="E14" s="3"/>
    </row>
    <row r="15" spans="1:7" ht="14.25" customHeight="1">
      <c r="A15" s="12" t="s">
        <v>17</v>
      </c>
      <c r="B15" s="13"/>
      <c r="C15" s="13"/>
      <c r="D15" s="13"/>
      <c r="E15" s="13"/>
      <c r="F15" s="13"/>
      <c r="G15" s="14"/>
    </row>
    <row r="16" spans="1:7" ht="14.25" customHeight="1">
      <c r="A16" s="15"/>
      <c r="B16" s="16"/>
      <c r="C16" s="16"/>
      <c r="D16" s="16"/>
      <c r="E16" s="16"/>
      <c r="F16" s="16"/>
      <c r="G16" s="17"/>
    </row>
    <row r="17" spans="1:9" ht="14.25" customHeight="1">
      <c r="B17" s="3"/>
      <c r="C17" s="3"/>
      <c r="D17" s="3"/>
      <c r="E17" s="3"/>
      <c r="F17" s="1" t="s">
        <v>0</v>
      </c>
      <c r="G17" s="1" t="s">
        <v>18</v>
      </c>
    </row>
    <row r="18" spans="1:9" ht="14.25" customHeight="1">
      <c r="B18" s="3"/>
      <c r="C18" s="3"/>
      <c r="D18" s="3"/>
      <c r="E18" s="3"/>
      <c r="F18" s="1" t="s">
        <v>2</v>
      </c>
      <c r="G18" s="1" t="s">
        <v>19</v>
      </c>
    </row>
    <row r="19" spans="1:9" ht="14.25" customHeight="1">
      <c r="B19" s="3"/>
      <c r="C19" s="3"/>
      <c r="D19" s="3"/>
      <c r="E19" s="3"/>
      <c r="F19" s="1" t="s">
        <v>4</v>
      </c>
      <c r="G19" s="1">
        <v>1</v>
      </c>
    </row>
    <row r="20" spans="1:9" ht="14.25" customHeight="1">
      <c r="B20" s="3"/>
      <c r="C20" s="3"/>
      <c r="D20" s="3"/>
      <c r="E20" s="3"/>
      <c r="F20" s="1" t="s">
        <v>5</v>
      </c>
      <c r="G20" s="1">
        <v>9.9999999999999995E-7</v>
      </c>
    </row>
    <row r="21" spans="1:9" ht="14.25" customHeight="1">
      <c r="A21" s="9"/>
      <c r="B21" s="10" t="s">
        <v>6</v>
      </c>
      <c r="C21" s="10" t="s">
        <v>7</v>
      </c>
      <c r="D21" s="10" t="s">
        <v>8</v>
      </c>
      <c r="E21" s="10" t="s">
        <v>9</v>
      </c>
      <c r="F21" s="9"/>
      <c r="G21" s="9"/>
      <c r="H21" s="9"/>
      <c r="I21" s="9"/>
    </row>
    <row r="22" spans="1:9" ht="14.25" customHeight="1">
      <c r="A22" s="9" t="s">
        <v>12</v>
      </c>
      <c r="B22" s="11">
        <f>G19</f>
        <v>1</v>
      </c>
      <c r="C22" s="11">
        <f t="shared" ref="C22:E22" si="6">B25</f>
        <v>1.1428571428571428</v>
      </c>
      <c r="D22" s="11">
        <f t="shared" si="6"/>
        <v>1.1244816900178953</v>
      </c>
      <c r="E22" s="11">
        <f t="shared" si="6"/>
        <v>1.124123163940149</v>
      </c>
      <c r="F22" s="11"/>
      <c r="G22" s="11"/>
      <c r="H22" s="9"/>
      <c r="I22" s="9"/>
    </row>
    <row r="23" spans="1:9" ht="14.25" customHeight="1">
      <c r="A23" s="9" t="s">
        <v>13</v>
      </c>
      <c r="B23" s="11">
        <f t="shared" ref="B23:E23" si="7">B22^4+2*B22^2-B22-3</f>
        <v>-1</v>
      </c>
      <c r="C23" s="11">
        <f t="shared" si="7"/>
        <v>0.17534360683048655</v>
      </c>
      <c r="D23" s="11">
        <f t="shared" si="7"/>
        <v>3.2931950564103474E-3</v>
      </c>
      <c r="E23" s="11">
        <f t="shared" si="7"/>
        <v>1.2320832358803102E-6</v>
      </c>
      <c r="F23" s="11"/>
      <c r="G23" s="11"/>
      <c r="H23" s="9"/>
      <c r="I23" s="9"/>
    </row>
    <row r="24" spans="1:9" ht="14.25" customHeight="1">
      <c r="A24" s="9" t="s">
        <v>14</v>
      </c>
      <c r="B24" s="11">
        <f t="shared" ref="B24:E24" si="8">4*B22^3+4*B22-1</f>
        <v>7</v>
      </c>
      <c r="C24" s="11">
        <f t="shared" si="8"/>
        <v>9.5422740524781329</v>
      </c>
      <c r="D24" s="11">
        <f t="shared" si="8"/>
        <v>9.1853710533721067</v>
      </c>
      <c r="E24" s="11">
        <f t="shared" si="8"/>
        <v>9.1784985847649416</v>
      </c>
      <c r="F24" s="11"/>
      <c r="G24" s="11"/>
      <c r="H24" s="9"/>
      <c r="I24" s="9"/>
    </row>
    <row r="25" spans="1:9" ht="14.25" customHeight="1">
      <c r="A25" s="9" t="s">
        <v>15</v>
      </c>
      <c r="B25" s="11">
        <f t="shared" ref="B25:E25" si="9">B22-(B23/B24)</f>
        <v>1.1428571428571428</v>
      </c>
      <c r="C25" s="11">
        <f t="shared" si="9"/>
        <v>1.1244816900178953</v>
      </c>
      <c r="D25" s="11">
        <f t="shared" si="9"/>
        <v>1.124123163940149</v>
      </c>
      <c r="E25" s="11">
        <f t="shared" si="9"/>
        <v>1.1241230297043343</v>
      </c>
      <c r="F25" s="11"/>
      <c r="G25" s="11"/>
      <c r="H25" s="9"/>
      <c r="I25" s="9"/>
    </row>
    <row r="26" spans="1:9" ht="14.25" customHeight="1">
      <c r="A26" s="9" t="s">
        <v>5</v>
      </c>
      <c r="B26" s="11">
        <f t="shared" ref="B26:E26" si="10">ABS(B25-B22)</f>
        <v>0.14285714285714279</v>
      </c>
      <c r="C26" s="11">
        <f t="shared" si="10"/>
        <v>1.8375452839247464E-2</v>
      </c>
      <c r="D26" s="11">
        <f t="shared" si="10"/>
        <v>3.5852607774633505E-4</v>
      </c>
      <c r="E26" s="11">
        <f t="shared" si="10"/>
        <v>1.3423581468607892E-7</v>
      </c>
      <c r="F26" s="11"/>
      <c r="G26" s="11"/>
      <c r="H26" s="9"/>
      <c r="I26" s="9"/>
    </row>
    <row r="27" spans="1:9" ht="14.25" customHeight="1">
      <c r="A27" s="9" t="s">
        <v>16</v>
      </c>
      <c r="B27" s="9" t="b">
        <f t="shared" ref="B27:E27" si="11">IF(B26&lt;=$G$20, TRUE)</f>
        <v>0</v>
      </c>
      <c r="C27" s="9" t="b">
        <f t="shared" si="11"/>
        <v>0</v>
      </c>
      <c r="D27" s="9" t="b">
        <f t="shared" si="11"/>
        <v>0</v>
      </c>
      <c r="E27" s="9" t="b">
        <f t="shared" si="11"/>
        <v>1</v>
      </c>
      <c r="F27" s="9"/>
      <c r="G27" s="9"/>
      <c r="H27" s="9"/>
      <c r="I27" s="9"/>
    </row>
    <row r="28" spans="1:9" ht="14.2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4.2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4.2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4.2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4.2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4.2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4.2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4.2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4.2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4.2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4.2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4.2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4.25" customHeight="1"/>
    <row r="41" spans="1:9" ht="14.25" customHeight="1"/>
    <row r="42" spans="1:9" ht="14.25" customHeight="1"/>
    <row r="43" spans="1:9" ht="14.25" customHeight="1"/>
    <row r="44" spans="1:9" ht="14.25" customHeight="1"/>
    <row r="45" spans="1:9" ht="14.25" customHeight="1"/>
    <row r="46" spans="1:9" ht="14.25" customHeight="1"/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5:G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WALEN TIN</dc:creator>
  <cp:lastModifiedBy>WALEN TIN</cp:lastModifiedBy>
  <dcterms:created xsi:type="dcterms:W3CDTF">2025-12-23T10:22:48Z</dcterms:created>
  <dcterms:modified xsi:type="dcterms:W3CDTF">2025-12-23T10:22:48Z</dcterms:modified>
</cp:coreProperties>
</file>